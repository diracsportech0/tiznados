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EF3034C4-5B1C-4FAF-8AED-EC7AC535B58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" i="1" l="1"/>
  <c r="J3" i="1"/>
  <c r="B3" i="1"/>
  <c r="J2" i="1"/>
  <c r="L2" i="1" l="1"/>
  <c r="B2" i="1"/>
</calcChain>
</file>

<file path=xl/sharedStrings.xml><?xml version="1.0" encoding="utf-8"?>
<sst xmlns="http://schemas.openxmlformats.org/spreadsheetml/2006/main" count="24" uniqueCount="21">
  <si>
    <t>fecha</t>
  </si>
  <si>
    <t>match_id</t>
  </si>
  <si>
    <t>video</t>
  </si>
  <si>
    <t>Etapa</t>
  </si>
  <si>
    <t>id_club1</t>
  </si>
  <si>
    <t>id_club2</t>
  </si>
  <si>
    <t>name_club1</t>
  </si>
  <si>
    <t>name_club2</t>
  </si>
  <si>
    <t>npartido</t>
  </si>
  <si>
    <t>match_filter</t>
  </si>
  <si>
    <t>localidad</t>
  </si>
  <si>
    <t>match</t>
  </si>
  <si>
    <t>gol</t>
  </si>
  <si>
    <t>gol_against</t>
  </si>
  <si>
    <t>https://youtu.be/7N6VSnEXyFQ</t>
  </si>
  <si>
    <t>Amistoso</t>
  </si>
  <si>
    <t>Tiznados FC</t>
  </si>
  <si>
    <t>Paucarpata X</t>
  </si>
  <si>
    <t>visita</t>
  </si>
  <si>
    <t>Tiznados vs USMP</t>
  </si>
  <si>
    <t>USMP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</si>
</sst>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1" xfId="0" applyBorder="1"/>
    <xf numFmtId="0" fontId="2" fillId="0" borderId="2" xfId="1" applyBorder="1"/>
    <xf numFmtId="0" fontId="2" fillId="0" borderId="0" xfId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youtube.com/watch?v=vmWdqhzpwTA" TargetMode="External"/><Relationship Id="rId1" Type="http://schemas.openxmlformats.org/officeDocument/2006/relationships/hyperlink" Target="https://youtu.be/7N6VSnEXyF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"/>
  <sheetViews>
    <sheetView tabSelected="1" workbookViewId="0">
      <selection activeCell="O3" sqref="O3"/>
    </sheetView>
  </sheetViews>
  <sheetFormatPr baseColWidth="10" defaultColWidth="9.140625" defaultRowHeight="15" x14ac:dyDescent="0.25"/>
  <cols>
    <col min="1" max="1" width="10.7109375" bestFit="1" customWidth="1"/>
    <col min="2" max="2" width="12" bestFit="1" customWidth="1"/>
    <col min="3" max="3" width="29" bestFit="1" customWidth="1"/>
    <col min="7" max="7" width="17.5703125" bestFit="1" customWidth="1"/>
    <col min="8" max="8" width="14.7109375" bestFit="1" customWidth="1"/>
    <col min="10" max="10" width="19" bestFit="1" customWidth="1"/>
    <col min="11" max="11" width="9" bestFit="1" customWidth="1"/>
    <col min="12" max="12" width="17.140625" bestFit="1" customWidth="1"/>
    <col min="13" max="13" width="7.4257812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>
        <v>46044</v>
      </c>
      <c r="B2" s="2" t="str">
        <f t="shared" ref="B2:B3" si="0">CONCATENATE(E2,A2)</f>
        <v>46044</v>
      </c>
      <c r="C2" s="4" t="s">
        <v>14</v>
      </c>
      <c r="D2" t="s">
        <v>15</v>
      </c>
      <c r="G2" t="s">
        <v>16</v>
      </c>
      <c r="H2" s="3" t="s">
        <v>17</v>
      </c>
      <c r="I2">
        <v>0</v>
      </c>
      <c r="J2" t="str">
        <f>CONCATENATE(H2,"_",I2)</f>
        <v>Paucarpata X_0</v>
      </c>
      <c r="K2" t="s">
        <v>18</v>
      </c>
      <c r="L2" t="str">
        <f t="shared" ref="L2:L3" si="1">CONCATENATE( "vs ",H2)</f>
        <v>vs Paucarpata X</v>
      </c>
      <c r="M2">
        <v>0</v>
      </c>
      <c r="N2">
        <v>2</v>
      </c>
    </row>
    <row r="3" spans="1:14" x14ac:dyDescent="0.25">
      <c r="A3" s="2">
        <v>46064</v>
      </c>
      <c r="B3" s="2" t="str">
        <f t="shared" si="0"/>
        <v>46064</v>
      </c>
      <c r="C3" s="5" t="s">
        <v>19</v>
      </c>
      <c r="D3" t="s">
        <v>15</v>
      </c>
      <c r="G3" t="s">
        <v>16</v>
      </c>
      <c r="H3" t="s">
        <v>20</v>
      </c>
      <c r="I3">
        <v>1</v>
      </c>
      <c r="J3" t="str">
        <f>CONCATENATE(H3,"_",I3)</f>
        <v>USMP_1</v>
      </c>
      <c r="K3" t="s">
        <v>18</v>
      </c>
      <c r="L3" t="str">
        <f t="shared" si="1"/>
        <v>vs USMP</v>
      </c>
      <c r="M3">
        <v>1</v>
      </c>
      <c r="N3">
        <v>1</v>
      </c>
    </row>
  </sheetData>
  <hyperlinks>
    <hyperlink ref="C2" r:id="rId1" xr:uid="{35DFBE1F-921A-4081-B10D-5E7482E47E31}"/>
    <hyperlink ref="C3" r:id="rId2" display="https://www.youtube.com/watch?v=vmWdqhzpwTA" xr:uid="{161D1A58-3B6A-4434-B21C-39BF3898F8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2026-02-13T21:51:01Z</dcterms:modified>
</cp:coreProperties>
</file>